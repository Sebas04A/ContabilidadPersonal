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513D\EXCELCNV\5b37c792-fec3-44de-b21a-cd789b74237e\"/>
    </mc:Choice>
  </mc:AlternateContent>
  <xr:revisionPtr revIDLastSave="26" documentId="8_{6720BD5A-225D-43AB-AC0D-1DD01BF90361}" xr6:coauthVersionLast="47" xr6:coauthVersionMax="47" xr10:uidLastSave="{6CEBBA3F-8D4E-48FF-A7B8-62F7C45C938D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58" i="1"/>
  <c r="I18" i="1"/>
  <c r="J18" i="1" s="1"/>
  <c r="I49" i="1"/>
  <c r="J49" i="1" s="1"/>
  <c r="I48" i="1"/>
  <c r="J48" i="1" s="1"/>
  <c r="I57" i="1"/>
  <c r="J57" i="1" s="1"/>
  <c r="I24" i="1"/>
  <c r="J24" i="1" s="1"/>
  <c r="I30" i="1"/>
  <c r="J30" i="1" s="1"/>
  <c r="I55" i="1"/>
  <c r="J55" i="1" s="1"/>
  <c r="I36" i="1"/>
  <c r="J36" i="1" s="1"/>
  <c r="I54" i="1"/>
  <c r="J54" i="1" s="1"/>
  <c r="I20" i="1"/>
  <c r="J20" i="1" s="1"/>
  <c r="I47" i="1"/>
  <c r="I51" i="1"/>
  <c r="J51" i="1" s="1"/>
  <c r="I50" i="1"/>
  <c r="J50" i="1" s="1"/>
  <c r="I29" i="1"/>
  <c r="J29" i="1" s="1"/>
  <c r="I35" i="1"/>
  <c r="J35" i="1" s="1"/>
  <c r="I23" i="1"/>
  <c r="J23" i="1" s="1"/>
  <c r="I45" i="1"/>
  <c r="J45" i="1" s="1"/>
  <c r="I32" i="1"/>
  <c r="J32" i="1" s="1"/>
  <c r="I46" i="1"/>
  <c r="J46" i="1" s="1"/>
  <c r="I42" i="1"/>
  <c r="J42" i="1" s="1"/>
  <c r="I34" i="1"/>
  <c r="J34" i="1" s="1"/>
  <c r="I56" i="1"/>
  <c r="J56" i="1" s="1"/>
  <c r="I41" i="1"/>
  <c r="J41" i="1" s="1"/>
  <c r="I33" i="1"/>
  <c r="J33" i="1" s="1"/>
  <c r="I28" i="1"/>
  <c r="J28" i="1" s="1"/>
  <c r="I40" i="1"/>
  <c r="J40" i="1" s="1"/>
  <c r="I22" i="1"/>
  <c r="J22" i="1" s="1"/>
  <c r="I52" i="1"/>
  <c r="J52" i="1" s="1"/>
  <c r="I39" i="1"/>
  <c r="J39" i="1" s="1"/>
  <c r="I44" i="1"/>
  <c r="J44" i="1" s="1"/>
  <c r="I26" i="1"/>
  <c r="J26" i="1" s="1"/>
  <c r="I37" i="1"/>
  <c r="J37" i="1" s="1"/>
  <c r="I25" i="1"/>
  <c r="J25" i="1" s="1"/>
  <c r="I19" i="1"/>
  <c r="J19" i="1" s="1"/>
  <c r="I31" i="1"/>
  <c r="J31" i="1" s="1"/>
  <c r="I21" i="1"/>
  <c r="J21" i="1" s="1"/>
  <c r="I43" i="1"/>
  <c r="J43" i="1" s="1"/>
  <c r="I53" i="1"/>
  <c r="J53" i="1" s="1"/>
  <c r="I27" i="1"/>
  <c r="J27" i="1" s="1"/>
  <c r="I38" i="1"/>
  <c r="J38" i="1" s="1"/>
  <c r="L18" i="1" l="1"/>
</calcChain>
</file>

<file path=xl/sharedStrings.xml><?xml version="1.0" encoding="utf-8"?>
<sst xmlns="http://schemas.openxmlformats.org/spreadsheetml/2006/main" count="178" uniqueCount="99">
  <si>
    <t>Empresa: ARCENTALES ARCINIEGA ANDRE SEB</t>
  </si>
  <si>
    <t>Tarjeta No.: 2230XXXXXXXX5647</t>
  </si>
  <si>
    <t>Estado de Cuenta</t>
  </si>
  <si>
    <t>Fecha de emisión: 06 ENR 2024</t>
  </si>
  <si>
    <t>Pague Hasta: 21 ENR 2024</t>
  </si>
  <si>
    <t>Fecha</t>
  </si>
  <si>
    <t>Documento</t>
  </si>
  <si>
    <t>Descripción</t>
  </si>
  <si>
    <t>Operación</t>
  </si>
  <si>
    <t>Cuota</t>
  </si>
  <si>
    <t>País</t>
  </si>
  <si>
    <t>Valor</t>
  </si>
  <si>
    <t>Saldo Diferido(USD)</t>
  </si>
  <si>
    <t>SALDO ANTERIOR</t>
  </si>
  <si>
    <t>375,27</t>
  </si>
  <si>
    <t>21/12</t>
  </si>
  <si>
    <t>SU PAGO "MUCHAS GRACIAS"</t>
  </si>
  <si>
    <t>20,00</t>
  </si>
  <si>
    <t>25/12</t>
  </si>
  <si>
    <t>355,27</t>
  </si>
  <si>
    <t>SUBTOTAL PAGOS</t>
  </si>
  <si>
    <t>NC INCOMING (UB *EATS ECUADOR)</t>
  </si>
  <si>
    <t>N/C</t>
  </si>
  <si>
    <t>3,50</t>
  </si>
  <si>
    <t>TOTAL A FAVOR</t>
  </si>
  <si>
    <t>INT. FINANCIAMIENTO</t>
  </si>
  <si>
    <t>N/D</t>
  </si>
  <si>
    <t>0,62</t>
  </si>
  <si>
    <t>CONT_FIN_SOLCA_C.ROT**</t>
  </si>
  <si>
    <t>0,02</t>
  </si>
  <si>
    <t>PROAUTO C.A.</t>
  </si>
  <si>
    <t>CONSUMO</t>
  </si>
  <si>
    <t>271,71</t>
  </si>
  <si>
    <t>267,99</t>
  </si>
  <si>
    <t>29/12</t>
  </si>
  <si>
    <t>MOVISTAR RECARGAS</t>
  </si>
  <si>
    <t>2,00</t>
  </si>
  <si>
    <t>MULTICINES</t>
  </si>
  <si>
    <t>20,10</t>
  </si>
  <si>
    <t>OLD TIME S DISCO BOUTIQUE</t>
  </si>
  <si>
    <t>11,20</t>
  </si>
  <si>
    <t>23/12</t>
  </si>
  <si>
    <t>SUPERMAXI POMASQUI 122 Q</t>
  </si>
  <si>
    <t>43,79</t>
  </si>
  <si>
    <t>UBER *TRIP H</t>
  </si>
  <si>
    <t>2,36</t>
  </si>
  <si>
    <t>RET IVA SERV DIGITAL 100%</t>
  </si>
  <si>
    <t>0,28</t>
  </si>
  <si>
    <t>6,09</t>
  </si>
  <si>
    <t>0,73</t>
  </si>
  <si>
    <t>16/12</t>
  </si>
  <si>
    <t>4,61</t>
  </si>
  <si>
    <t>0,55</t>
  </si>
  <si>
    <t>8,14</t>
  </si>
  <si>
    <t>0,98</t>
  </si>
  <si>
    <t>UB *EATS ECUADOR 8</t>
  </si>
  <si>
    <t>17,18</t>
  </si>
  <si>
    <t>RET IVA SERV DIGITAL 10%</t>
  </si>
  <si>
    <t>0,21</t>
  </si>
  <si>
    <t>7,19</t>
  </si>
  <si>
    <t>0,09</t>
  </si>
  <si>
    <t>17/12</t>
  </si>
  <si>
    <t>16,26</t>
  </si>
  <si>
    <t>0,20</t>
  </si>
  <si>
    <t>31/12</t>
  </si>
  <si>
    <t>27,07</t>
  </si>
  <si>
    <t>0,33</t>
  </si>
  <si>
    <t>29,54</t>
  </si>
  <si>
    <t>0,35</t>
  </si>
  <si>
    <t>UBER *TRIP HELP.UBER.C V</t>
  </si>
  <si>
    <t>2,45</t>
  </si>
  <si>
    <t>0,29</t>
  </si>
  <si>
    <t>GOOGLE *Google Storage 6</t>
  </si>
  <si>
    <t>1,99</t>
  </si>
  <si>
    <t>0,24</t>
  </si>
  <si>
    <t>24/12</t>
  </si>
  <si>
    <t>UB *EATS ECUADOR h</t>
  </si>
  <si>
    <t>27,12</t>
  </si>
  <si>
    <t>CEVICHES RUMINAHUI POM Q</t>
  </si>
  <si>
    <t>6,00</t>
  </si>
  <si>
    <t>POLLO CAMPERO POMASQUI Q</t>
  </si>
  <si>
    <t>6,49</t>
  </si>
  <si>
    <t>19/12</t>
  </si>
  <si>
    <t>UBER *ONE H</t>
  </si>
  <si>
    <t>3,99</t>
  </si>
  <si>
    <t>DL*McDonald'sUSA M</t>
  </si>
  <si>
    <t>5,99</t>
  </si>
  <si>
    <t>DL*McDonald'sNLD M</t>
  </si>
  <si>
    <t>10,99</t>
  </si>
  <si>
    <t>GOOGLE *ChatGPTU 6</t>
  </si>
  <si>
    <t>19,99</t>
  </si>
  <si>
    <t>2,40</t>
  </si>
  <si>
    <t>CANVA* I04004-59567132 C</t>
  </si>
  <si>
    <t>0,78</t>
  </si>
  <si>
    <t>SUBTOTAL :</t>
  </si>
  <si>
    <t>845,69</t>
  </si>
  <si>
    <t>TOTAL CONSUMOS MES</t>
  </si>
  <si>
    <t>TOTAL A PAGAR USD</t>
  </si>
  <si>
    <t>PAGO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</si>
</sst>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D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right" wrapText="1"/>
    </xf>
    <xf numFmtId="0" fontId="0" fillId="0" borderId="10" xfId="0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16" fontId="18" fillId="0" borderId="10" xfId="0" applyNumberFormat="1" applyFont="1" applyBorder="1" applyAlignment="1">
      <alignment horizontal="left" wrapText="1"/>
    </xf>
    <xf numFmtId="0" fontId="19" fillId="0" borderId="10" xfId="0" applyFont="1" applyBorder="1" applyAlignment="1">
      <alignment horizontal="right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3" xfId="0" applyFont="1" applyBorder="1" applyAlignment="1">
      <alignment horizontal="left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164" fontId="18" fillId="0" borderId="10" xfId="0" applyNumberFormat="1" applyFont="1" applyBorder="1" applyAlignment="1">
      <alignment horizontal="right" wrapText="1"/>
    </xf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showGridLines="0" tabSelected="1" topLeftCell="A26" workbookViewId="0">
      <selection activeCell="G58" sqref="G58"/>
    </sheetView>
  </sheetViews>
  <sheetFormatPr defaultRowHeight="15"/>
  <cols>
    <col min="1" max="1" width="7.28515625" customWidth="1"/>
    <col min="2" max="2" width="12.5703125" customWidth="1"/>
    <col min="3" max="3" width="32.28515625" customWidth="1"/>
    <col min="4" max="4" width="11.28515625" customWidth="1"/>
    <col min="5" max="5" width="6.7109375" customWidth="1"/>
    <col min="6" max="6" width="5" customWidth="1"/>
    <col min="7" max="7" width="7.7109375" customWidth="1"/>
    <col min="8" max="8" width="21.7109375" customWidth="1"/>
  </cols>
  <sheetData>
    <row r="1" spans="1:9">
      <c r="A1" s="10"/>
      <c r="B1" s="11"/>
      <c r="C1" s="11"/>
      <c r="D1" s="11"/>
      <c r="E1" s="11"/>
      <c r="F1" s="11"/>
      <c r="G1" s="11"/>
      <c r="H1" s="12"/>
    </row>
    <row r="2" spans="1:9" s="1" customFormat="1">
      <c r="A2" s="28" t="s">
        <v>0</v>
      </c>
      <c r="B2" s="29"/>
      <c r="C2" s="29"/>
      <c r="D2" s="29"/>
      <c r="E2" s="29"/>
      <c r="F2" s="29"/>
      <c r="G2" s="29"/>
      <c r="H2" s="30"/>
    </row>
    <row r="3" spans="1:9" s="1" customFormat="1">
      <c r="A3" s="28" t="s">
        <v>1</v>
      </c>
      <c r="B3" s="29"/>
      <c r="C3" s="29"/>
      <c r="D3" s="29"/>
      <c r="E3" s="29"/>
      <c r="F3" s="29"/>
      <c r="G3" s="29"/>
      <c r="H3" s="30"/>
    </row>
    <row r="4" spans="1:9">
      <c r="A4" s="19"/>
      <c r="B4" s="20"/>
      <c r="C4" s="20"/>
      <c r="D4" s="20"/>
      <c r="E4" s="20"/>
      <c r="F4" s="20"/>
      <c r="G4" s="20"/>
      <c r="H4" s="21"/>
    </row>
    <row r="5" spans="1:9" s="1" customFormat="1">
      <c r="A5" s="28" t="s">
        <v>2</v>
      </c>
      <c r="B5" s="29"/>
      <c r="C5" s="29"/>
      <c r="D5" s="29"/>
      <c r="E5" s="29"/>
      <c r="F5" s="29"/>
      <c r="G5" s="29"/>
      <c r="H5" s="30"/>
    </row>
    <row r="6" spans="1:9">
      <c r="A6" s="19" t="s">
        <v>3</v>
      </c>
      <c r="B6" s="20"/>
      <c r="C6" s="20"/>
      <c r="D6" s="21"/>
      <c r="E6" s="19" t="s">
        <v>4</v>
      </c>
      <c r="F6" s="20"/>
      <c r="G6" s="20"/>
      <c r="H6" s="21"/>
    </row>
    <row r="7" spans="1:9">
      <c r="A7" s="19"/>
      <c r="B7" s="20"/>
      <c r="C7" s="20"/>
      <c r="D7" s="20"/>
      <c r="E7" s="20"/>
      <c r="F7" s="20"/>
      <c r="G7" s="20"/>
      <c r="H7" s="21"/>
    </row>
    <row r="8" spans="1:9" s="1" customFormat="1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3" t="s">
        <v>11</v>
      </c>
      <c r="H8" s="3" t="s">
        <v>12</v>
      </c>
      <c r="I8" s="1" t="s">
        <v>11</v>
      </c>
    </row>
    <row r="9" spans="1:9">
      <c r="A9" s="4"/>
      <c r="B9" s="4"/>
      <c r="C9" s="5" t="s">
        <v>13</v>
      </c>
      <c r="D9" s="4"/>
      <c r="E9" s="4"/>
      <c r="F9" s="4"/>
      <c r="G9" s="7" t="s">
        <v>14</v>
      </c>
      <c r="H9" s="6"/>
    </row>
    <row r="10" spans="1:9">
      <c r="A10" s="5" t="s">
        <v>15</v>
      </c>
      <c r="B10" s="4"/>
      <c r="C10" s="5" t="s">
        <v>16</v>
      </c>
      <c r="D10" s="4"/>
      <c r="E10" s="4"/>
      <c r="F10" s="4"/>
      <c r="G10" s="7" t="s">
        <v>17</v>
      </c>
      <c r="H10" s="6"/>
    </row>
    <row r="11" spans="1:9">
      <c r="A11" s="5" t="s">
        <v>18</v>
      </c>
      <c r="B11" s="5">
        <v>726522</v>
      </c>
      <c r="C11" s="5" t="s">
        <v>16</v>
      </c>
      <c r="D11" s="4"/>
      <c r="E11" s="4"/>
      <c r="F11" s="4"/>
      <c r="G11" s="7" t="s">
        <v>19</v>
      </c>
      <c r="H11" s="6"/>
    </row>
    <row r="12" spans="1:9">
      <c r="A12" s="4"/>
      <c r="B12" s="4"/>
      <c r="C12" s="5" t="s">
        <v>20</v>
      </c>
      <c r="D12" s="4"/>
      <c r="E12" s="4"/>
      <c r="F12" s="4"/>
      <c r="G12" s="7" t="s">
        <v>14</v>
      </c>
      <c r="H12" s="6"/>
    </row>
    <row r="13" spans="1:9">
      <c r="A13" s="5" t="s">
        <v>18</v>
      </c>
      <c r="B13" s="5">
        <v>540928</v>
      </c>
      <c r="C13" s="5" t="s">
        <v>21</v>
      </c>
      <c r="D13" s="5" t="s">
        <v>22</v>
      </c>
      <c r="E13" s="4"/>
      <c r="F13" s="4"/>
      <c r="G13" s="7" t="s">
        <v>23</v>
      </c>
      <c r="H13" s="6"/>
    </row>
    <row r="14" spans="1:9">
      <c r="A14" s="4"/>
      <c r="B14" s="4"/>
      <c r="C14" s="5" t="s">
        <v>24</v>
      </c>
      <c r="D14" s="4"/>
      <c r="E14" s="4"/>
      <c r="F14" s="4"/>
      <c r="G14" s="7" t="s">
        <v>23</v>
      </c>
      <c r="H14" s="6"/>
    </row>
    <row r="15" spans="1:9">
      <c r="A15" s="8">
        <v>45444</v>
      </c>
      <c r="B15" s="4"/>
      <c r="C15" s="5" t="s">
        <v>25</v>
      </c>
      <c r="D15" s="5" t="s">
        <v>26</v>
      </c>
      <c r="E15" s="4"/>
      <c r="F15" s="4"/>
      <c r="G15" s="7" t="s">
        <v>27</v>
      </c>
      <c r="H15" s="6"/>
    </row>
    <row r="16" spans="1:9">
      <c r="A16" s="8">
        <v>45444</v>
      </c>
      <c r="B16" s="4"/>
      <c r="C16" s="5" t="s">
        <v>28</v>
      </c>
      <c r="D16" s="5" t="s">
        <v>26</v>
      </c>
      <c r="E16" s="4"/>
      <c r="F16" s="4"/>
      <c r="G16" s="7" t="s">
        <v>29</v>
      </c>
      <c r="H16" s="6"/>
    </row>
    <row r="17" spans="1:12">
      <c r="A17" s="22"/>
      <c r="B17" s="23"/>
      <c r="C17" s="23"/>
      <c r="D17" s="23"/>
      <c r="E17" s="23"/>
      <c r="F17" s="23"/>
      <c r="G17" s="23"/>
      <c r="H17" s="24"/>
    </row>
    <row r="18" spans="1:12">
      <c r="A18" s="8">
        <v>45638</v>
      </c>
      <c r="B18" s="5">
        <v>3116</v>
      </c>
      <c r="C18" s="5" t="s">
        <v>30</v>
      </c>
      <c r="D18" s="5" t="s">
        <v>31</v>
      </c>
      <c r="E18" s="4"/>
      <c r="F18" s="4"/>
      <c r="G18" s="31" t="s">
        <v>32</v>
      </c>
      <c r="H18" s="6"/>
      <c r="I18" s="32">
        <f>+VALUE(G18)</f>
        <v>271.70999999999998</v>
      </c>
      <c r="J18" s="33">
        <f>+I18</f>
        <v>271.70999999999998</v>
      </c>
      <c r="L18" s="32">
        <f>+SUM(I18:I57)</f>
        <v>845.6900000000004</v>
      </c>
    </row>
    <row r="19" spans="1:12">
      <c r="A19" s="8">
        <v>45638</v>
      </c>
      <c r="B19" s="5">
        <v>3117</v>
      </c>
      <c r="C19" s="5" t="s">
        <v>30</v>
      </c>
      <c r="D19" s="5" t="s">
        <v>31</v>
      </c>
      <c r="E19" s="4"/>
      <c r="F19" s="4"/>
      <c r="G19" s="31" t="s">
        <v>33</v>
      </c>
      <c r="H19" s="6"/>
      <c r="I19" s="32">
        <f>+VALUE(G19)</f>
        <v>267.99</v>
      </c>
      <c r="J19" s="33">
        <f>+I19</f>
        <v>267.99</v>
      </c>
    </row>
    <row r="20" spans="1:12">
      <c r="A20" s="5" t="s">
        <v>34</v>
      </c>
      <c r="B20" s="5">
        <v>531041</v>
      </c>
      <c r="C20" s="5" t="s">
        <v>35</v>
      </c>
      <c r="D20" s="5" t="s">
        <v>31</v>
      </c>
      <c r="E20" s="4"/>
      <c r="F20" s="4"/>
      <c r="G20" s="31" t="s">
        <v>36</v>
      </c>
      <c r="H20" s="6"/>
      <c r="I20" s="32">
        <f>+VALUE(G20)</f>
        <v>2</v>
      </c>
      <c r="J20" s="33">
        <f>+I20</f>
        <v>2</v>
      </c>
    </row>
    <row r="21" spans="1:12">
      <c r="A21" s="8">
        <v>45547</v>
      </c>
      <c r="B21" s="5">
        <v>782867</v>
      </c>
      <c r="C21" s="5" t="s">
        <v>37</v>
      </c>
      <c r="D21" s="5" t="s">
        <v>31</v>
      </c>
      <c r="E21" s="4"/>
      <c r="F21" s="4"/>
      <c r="G21" s="31" t="s">
        <v>38</v>
      </c>
      <c r="H21" s="6"/>
      <c r="I21" s="32">
        <f>+VALUE(G21)</f>
        <v>20.100000000000001</v>
      </c>
      <c r="J21" s="33">
        <f>+I21</f>
        <v>20.100000000000001</v>
      </c>
    </row>
    <row r="22" spans="1:12">
      <c r="A22" s="8">
        <v>45485</v>
      </c>
      <c r="B22" s="5">
        <v>1624</v>
      </c>
      <c r="C22" s="5" t="s">
        <v>39</v>
      </c>
      <c r="D22" s="5" t="s">
        <v>31</v>
      </c>
      <c r="E22" s="4"/>
      <c r="F22" s="4"/>
      <c r="G22" s="31" t="s">
        <v>40</v>
      </c>
      <c r="H22" s="6"/>
      <c r="I22" s="32">
        <f>+VALUE(G22)</f>
        <v>11.2</v>
      </c>
      <c r="J22" s="33">
        <f>+I22</f>
        <v>11.2</v>
      </c>
    </row>
    <row r="23" spans="1:12">
      <c r="A23" s="8">
        <v>45485</v>
      </c>
      <c r="B23" s="5">
        <v>1630</v>
      </c>
      <c r="C23" s="5" t="s">
        <v>39</v>
      </c>
      <c r="D23" s="5" t="s">
        <v>31</v>
      </c>
      <c r="E23" s="4"/>
      <c r="F23" s="4"/>
      <c r="G23" s="31" t="s">
        <v>40</v>
      </c>
      <c r="H23" s="6"/>
      <c r="I23" s="32">
        <f>+VALUE(G23)</f>
        <v>11.2</v>
      </c>
      <c r="J23" s="33">
        <f>+I23</f>
        <v>11.2</v>
      </c>
    </row>
    <row r="24" spans="1:12">
      <c r="A24" s="5" t="s">
        <v>41</v>
      </c>
      <c r="B24" s="5">
        <v>8153973</v>
      </c>
      <c r="C24" s="5" t="s">
        <v>42</v>
      </c>
      <c r="D24" s="5" t="s">
        <v>31</v>
      </c>
      <c r="E24" s="4"/>
      <c r="F24" s="4"/>
      <c r="G24" s="31" t="s">
        <v>43</v>
      </c>
      <c r="H24" s="6"/>
      <c r="I24" s="32">
        <f>+VALUE(G24)</f>
        <v>43.79</v>
      </c>
      <c r="J24" s="33">
        <f>+I24</f>
        <v>43.79</v>
      </c>
    </row>
    <row r="25" spans="1:12">
      <c r="A25" s="8">
        <v>45485</v>
      </c>
      <c r="B25" s="5">
        <v>7575542</v>
      </c>
      <c r="C25" s="5" t="s">
        <v>44</v>
      </c>
      <c r="D25" s="5" t="s">
        <v>31</v>
      </c>
      <c r="E25" s="4"/>
      <c r="F25" s="4"/>
      <c r="G25" s="31" t="s">
        <v>45</v>
      </c>
      <c r="H25" s="6"/>
      <c r="I25" s="32">
        <f>+VALUE(G25)</f>
        <v>2.36</v>
      </c>
      <c r="J25" s="33">
        <f>+I25</f>
        <v>2.36</v>
      </c>
    </row>
    <row r="26" spans="1:12">
      <c r="A26" s="8">
        <v>45485</v>
      </c>
      <c r="B26" s="5">
        <v>7575542</v>
      </c>
      <c r="C26" s="5" t="s">
        <v>46</v>
      </c>
      <c r="D26" s="5" t="s">
        <v>26</v>
      </c>
      <c r="E26" s="4"/>
      <c r="F26" s="4"/>
      <c r="G26" s="31" t="s">
        <v>47</v>
      </c>
      <c r="H26" s="6"/>
      <c r="I26" s="32">
        <f>+VALUE(G26)</f>
        <v>0.28000000000000003</v>
      </c>
      <c r="J26" s="33">
        <f>+I26</f>
        <v>0.28000000000000003</v>
      </c>
    </row>
    <row r="27" spans="1:12">
      <c r="A27" s="8">
        <v>45485</v>
      </c>
      <c r="B27" s="5">
        <v>7575543</v>
      </c>
      <c r="C27" s="5" t="s">
        <v>44</v>
      </c>
      <c r="D27" s="5" t="s">
        <v>31</v>
      </c>
      <c r="E27" s="4"/>
      <c r="F27" s="4"/>
      <c r="G27" s="31" t="s">
        <v>48</v>
      </c>
      <c r="H27" s="6"/>
      <c r="I27" s="32">
        <f>+VALUE(G27)</f>
        <v>6.09</v>
      </c>
      <c r="J27" s="33">
        <f>+I27</f>
        <v>6.09</v>
      </c>
    </row>
    <row r="28" spans="1:12">
      <c r="A28" s="8">
        <v>45485</v>
      </c>
      <c r="B28" s="5">
        <v>7575543</v>
      </c>
      <c r="C28" s="5" t="s">
        <v>46</v>
      </c>
      <c r="D28" s="5" t="s">
        <v>26</v>
      </c>
      <c r="E28" s="4"/>
      <c r="F28" s="4"/>
      <c r="G28" s="31" t="s">
        <v>49</v>
      </c>
      <c r="H28" s="6"/>
      <c r="I28" s="32">
        <f>+VALUE(G28)</f>
        <v>0.73</v>
      </c>
      <c r="J28" s="33">
        <f>+I28</f>
        <v>0.73</v>
      </c>
    </row>
    <row r="29" spans="1:12">
      <c r="A29" s="5" t="s">
        <v>50</v>
      </c>
      <c r="B29" s="5">
        <v>7833538</v>
      </c>
      <c r="C29" s="5" t="s">
        <v>44</v>
      </c>
      <c r="D29" s="5" t="s">
        <v>31</v>
      </c>
      <c r="E29" s="4"/>
      <c r="F29" s="4"/>
      <c r="G29" s="31" t="s">
        <v>51</v>
      </c>
      <c r="H29" s="6"/>
      <c r="I29" s="32">
        <f>+VALUE(G29)</f>
        <v>4.6100000000000003</v>
      </c>
      <c r="J29" s="33">
        <f>+I29</f>
        <v>4.6100000000000003</v>
      </c>
    </row>
    <row r="30" spans="1:12">
      <c r="A30" s="5" t="s">
        <v>50</v>
      </c>
      <c r="B30" s="5">
        <v>7833538</v>
      </c>
      <c r="C30" s="5" t="s">
        <v>46</v>
      </c>
      <c r="D30" s="5" t="s">
        <v>26</v>
      </c>
      <c r="E30" s="4"/>
      <c r="F30" s="4"/>
      <c r="G30" s="31" t="s">
        <v>52</v>
      </c>
      <c r="H30" s="6"/>
      <c r="I30" s="32">
        <f>+VALUE(G30)</f>
        <v>0.55000000000000004</v>
      </c>
      <c r="J30" s="33">
        <f>+I30</f>
        <v>0.55000000000000004</v>
      </c>
    </row>
    <row r="31" spans="1:12">
      <c r="A31" s="5" t="s">
        <v>15</v>
      </c>
      <c r="B31" s="5">
        <v>7999020</v>
      </c>
      <c r="C31" s="5" t="s">
        <v>44</v>
      </c>
      <c r="D31" s="5" t="s">
        <v>31</v>
      </c>
      <c r="E31" s="4"/>
      <c r="F31" s="4"/>
      <c r="G31" s="31" t="s">
        <v>53</v>
      </c>
      <c r="H31" s="6"/>
      <c r="I31" s="32">
        <f>+VALUE(G31)</f>
        <v>8.14</v>
      </c>
      <c r="J31" s="33">
        <f>+I31</f>
        <v>8.14</v>
      </c>
    </row>
    <row r="32" spans="1:12">
      <c r="A32" s="5" t="s">
        <v>15</v>
      </c>
      <c r="B32" s="5">
        <v>7999020</v>
      </c>
      <c r="C32" s="5" t="s">
        <v>46</v>
      </c>
      <c r="D32" s="5" t="s">
        <v>26</v>
      </c>
      <c r="E32" s="4"/>
      <c r="F32" s="4"/>
      <c r="G32" s="31" t="s">
        <v>54</v>
      </c>
      <c r="H32" s="6"/>
      <c r="I32" s="32">
        <f>+VALUE(G32)</f>
        <v>0.98</v>
      </c>
      <c r="J32" s="33">
        <f>+I32</f>
        <v>0.98</v>
      </c>
    </row>
    <row r="33" spans="1:10">
      <c r="A33" s="8">
        <v>45455</v>
      </c>
      <c r="B33" s="5">
        <v>7575541</v>
      </c>
      <c r="C33" s="5" t="s">
        <v>55</v>
      </c>
      <c r="D33" s="5" t="s">
        <v>31</v>
      </c>
      <c r="E33" s="4"/>
      <c r="F33" s="4"/>
      <c r="G33" s="31" t="s">
        <v>56</v>
      </c>
      <c r="H33" s="6"/>
      <c r="I33" s="32">
        <f>+VALUE(G33)</f>
        <v>17.18</v>
      </c>
      <c r="J33" s="33">
        <f>+I33</f>
        <v>17.18</v>
      </c>
    </row>
    <row r="34" spans="1:10">
      <c r="A34" s="8">
        <v>45455</v>
      </c>
      <c r="B34" s="5">
        <v>7575541</v>
      </c>
      <c r="C34" s="5" t="s">
        <v>57</v>
      </c>
      <c r="D34" s="5" t="s">
        <v>26</v>
      </c>
      <c r="E34" s="4"/>
      <c r="F34" s="4"/>
      <c r="G34" s="31" t="s">
        <v>58</v>
      </c>
      <c r="H34" s="6"/>
      <c r="I34" s="32">
        <f>+VALUE(G34)</f>
        <v>0.21</v>
      </c>
      <c r="J34" s="33">
        <f>+I34</f>
        <v>0.21</v>
      </c>
    </row>
    <row r="35" spans="1:10">
      <c r="A35" s="8">
        <v>45547</v>
      </c>
      <c r="B35" s="5">
        <v>7609401</v>
      </c>
      <c r="C35" s="5" t="s">
        <v>55</v>
      </c>
      <c r="D35" s="5" t="s">
        <v>31</v>
      </c>
      <c r="E35" s="4"/>
      <c r="F35" s="4"/>
      <c r="G35" s="31" t="s">
        <v>59</v>
      </c>
      <c r="H35" s="6"/>
      <c r="I35" s="32">
        <f>+VALUE(G35)</f>
        <v>7.19</v>
      </c>
      <c r="J35" s="33">
        <f>+I35</f>
        <v>7.19</v>
      </c>
    </row>
    <row r="36" spans="1:10">
      <c r="A36" s="8">
        <v>45547</v>
      </c>
      <c r="B36" s="5">
        <v>7609401</v>
      </c>
      <c r="C36" s="5" t="s">
        <v>57</v>
      </c>
      <c r="D36" s="5" t="s">
        <v>26</v>
      </c>
      <c r="E36" s="4"/>
      <c r="F36" s="4"/>
      <c r="G36" s="31" t="s">
        <v>60</v>
      </c>
      <c r="H36" s="6"/>
      <c r="I36" s="32">
        <f>+VALUE(G36)</f>
        <v>0.09</v>
      </c>
      <c r="J36" s="33">
        <f>+I36</f>
        <v>0.09</v>
      </c>
    </row>
    <row r="37" spans="1:10">
      <c r="A37" s="5" t="s">
        <v>61</v>
      </c>
      <c r="B37" s="5">
        <v>7833537</v>
      </c>
      <c r="C37" s="5" t="s">
        <v>55</v>
      </c>
      <c r="D37" s="5" t="s">
        <v>31</v>
      </c>
      <c r="E37" s="4"/>
      <c r="F37" s="4"/>
      <c r="G37" s="31" t="s">
        <v>62</v>
      </c>
      <c r="H37" s="6"/>
      <c r="I37" s="32">
        <f>+VALUE(G37)</f>
        <v>16.260000000000002</v>
      </c>
      <c r="J37" s="33">
        <f>+I37</f>
        <v>16.260000000000002</v>
      </c>
    </row>
    <row r="38" spans="1:10">
      <c r="A38" s="5" t="s">
        <v>61</v>
      </c>
      <c r="B38" s="5">
        <v>7833537</v>
      </c>
      <c r="C38" s="5" t="s">
        <v>57</v>
      </c>
      <c r="D38" s="5" t="s">
        <v>26</v>
      </c>
      <c r="E38" s="4"/>
      <c r="F38" s="4"/>
      <c r="G38" s="31" t="s">
        <v>63</v>
      </c>
      <c r="H38" s="6"/>
      <c r="I38" s="32">
        <f>+VALUE(G38)</f>
        <v>0.2</v>
      </c>
      <c r="J38" s="33">
        <f>+I38</f>
        <v>0.2</v>
      </c>
    </row>
    <row r="39" spans="1:10">
      <c r="A39" s="5" t="s">
        <v>64</v>
      </c>
      <c r="B39" s="5">
        <v>8278612</v>
      </c>
      <c r="C39" s="5" t="s">
        <v>55</v>
      </c>
      <c r="D39" s="5" t="s">
        <v>31</v>
      </c>
      <c r="E39" s="4"/>
      <c r="F39" s="4"/>
      <c r="G39" s="31" t="s">
        <v>65</v>
      </c>
      <c r="H39" s="6"/>
      <c r="I39" s="32">
        <f>+VALUE(G39)</f>
        <v>27.07</v>
      </c>
      <c r="J39" s="33">
        <f>+I39</f>
        <v>27.07</v>
      </c>
    </row>
    <row r="40" spans="1:10">
      <c r="A40" s="5" t="s">
        <v>64</v>
      </c>
      <c r="B40" s="5">
        <v>8278612</v>
      </c>
      <c r="C40" s="5" t="s">
        <v>57</v>
      </c>
      <c r="D40" s="5" t="s">
        <v>26</v>
      </c>
      <c r="E40" s="4"/>
      <c r="F40" s="4"/>
      <c r="G40" s="31" t="s">
        <v>66</v>
      </c>
      <c r="H40" s="6"/>
      <c r="I40" s="32">
        <f>+VALUE(G40)</f>
        <v>0.33</v>
      </c>
      <c r="J40" s="33">
        <f>+I40</f>
        <v>0.33</v>
      </c>
    </row>
    <row r="41" spans="1:10">
      <c r="A41" s="8">
        <v>45323</v>
      </c>
      <c r="B41" s="5">
        <v>8389776</v>
      </c>
      <c r="C41" s="5" t="s">
        <v>55</v>
      </c>
      <c r="D41" s="5" t="s">
        <v>31</v>
      </c>
      <c r="E41" s="4"/>
      <c r="F41" s="4"/>
      <c r="G41" s="31" t="s">
        <v>67</v>
      </c>
      <c r="H41" s="6"/>
      <c r="I41" s="32">
        <f>+VALUE(G41)</f>
        <v>29.54</v>
      </c>
      <c r="J41" s="33">
        <f>+I41</f>
        <v>29.54</v>
      </c>
    </row>
    <row r="42" spans="1:10">
      <c r="A42" s="8">
        <v>45323</v>
      </c>
      <c r="B42" s="5">
        <v>8389776</v>
      </c>
      <c r="C42" s="5" t="s">
        <v>57</v>
      </c>
      <c r="D42" s="5" t="s">
        <v>26</v>
      </c>
      <c r="E42" s="4"/>
      <c r="F42" s="4"/>
      <c r="G42" s="31" t="s">
        <v>68</v>
      </c>
      <c r="H42" s="6"/>
      <c r="I42" s="32">
        <f>+VALUE(G42)</f>
        <v>0.35</v>
      </c>
      <c r="J42" s="33">
        <f>+I42</f>
        <v>0.35</v>
      </c>
    </row>
    <row r="43" spans="1:10">
      <c r="A43" s="8">
        <v>45638</v>
      </c>
      <c r="B43" s="5">
        <v>7714000</v>
      </c>
      <c r="C43" s="5" t="s">
        <v>69</v>
      </c>
      <c r="D43" s="5" t="s">
        <v>31</v>
      </c>
      <c r="E43" s="4"/>
      <c r="F43" s="4"/>
      <c r="G43" s="31" t="s">
        <v>70</v>
      </c>
      <c r="H43" s="6"/>
      <c r="I43" s="32">
        <f>+VALUE(G43)</f>
        <v>2.4500000000000002</v>
      </c>
      <c r="J43" s="33">
        <f>+I43</f>
        <v>2.4500000000000002</v>
      </c>
    </row>
    <row r="44" spans="1:10">
      <c r="A44" s="8">
        <v>45638</v>
      </c>
      <c r="B44" s="5">
        <v>7714000</v>
      </c>
      <c r="C44" s="5" t="s">
        <v>46</v>
      </c>
      <c r="D44" s="5" t="s">
        <v>26</v>
      </c>
      <c r="E44" s="4"/>
      <c r="F44" s="4"/>
      <c r="G44" s="31" t="s">
        <v>71</v>
      </c>
      <c r="H44" s="6"/>
      <c r="I44" s="32">
        <f>+VALUE(G44)</f>
        <v>0.28999999999999998</v>
      </c>
      <c r="J44" s="33">
        <f>+I44</f>
        <v>0.28999999999999998</v>
      </c>
    </row>
    <row r="45" spans="1:10">
      <c r="A45" s="8">
        <v>45516</v>
      </c>
      <c r="B45" s="5">
        <v>7578329</v>
      </c>
      <c r="C45" s="5" t="s">
        <v>72</v>
      </c>
      <c r="D45" s="5" t="s">
        <v>31</v>
      </c>
      <c r="E45" s="4"/>
      <c r="F45" s="4"/>
      <c r="G45" s="31" t="s">
        <v>73</v>
      </c>
      <c r="H45" s="6"/>
      <c r="I45" s="32">
        <f>+VALUE(G45)</f>
        <v>1.99</v>
      </c>
      <c r="J45" s="33">
        <f>+I45</f>
        <v>1.99</v>
      </c>
    </row>
    <row r="46" spans="1:10">
      <c r="A46" s="8">
        <v>45516</v>
      </c>
      <c r="B46" s="5">
        <v>7578329</v>
      </c>
      <c r="C46" s="5" t="s">
        <v>46</v>
      </c>
      <c r="D46" s="5" t="s">
        <v>26</v>
      </c>
      <c r="E46" s="4"/>
      <c r="F46" s="4"/>
      <c r="G46" s="31" t="s">
        <v>74</v>
      </c>
      <c r="H46" s="6"/>
      <c r="I46" s="32">
        <f>+VALUE(G46)</f>
        <v>0.24</v>
      </c>
      <c r="J46" s="33">
        <f>+I46</f>
        <v>0.24</v>
      </c>
    </row>
    <row r="47" spans="1:10">
      <c r="A47" s="5" t="s">
        <v>75</v>
      </c>
      <c r="B47" s="5">
        <v>8059964</v>
      </c>
      <c r="C47" s="5" t="s">
        <v>76</v>
      </c>
      <c r="D47" s="5" t="s">
        <v>31</v>
      </c>
      <c r="E47" s="4"/>
      <c r="F47" s="4"/>
      <c r="G47" s="31" t="s">
        <v>77</v>
      </c>
      <c r="H47" s="6"/>
      <c r="I47" s="32">
        <f>+VALUE(G47)</f>
        <v>27.12</v>
      </c>
      <c r="J47" s="33">
        <f>+I47</f>
        <v>27.12</v>
      </c>
    </row>
    <row r="48" spans="1:10">
      <c r="A48" s="5" t="s">
        <v>75</v>
      </c>
      <c r="B48" s="5">
        <v>8059964</v>
      </c>
      <c r="C48" s="5" t="s">
        <v>57</v>
      </c>
      <c r="D48" s="5" t="s">
        <v>26</v>
      </c>
      <c r="E48" s="4"/>
      <c r="F48" s="4"/>
      <c r="G48" s="31" t="s">
        <v>66</v>
      </c>
      <c r="H48" s="6"/>
      <c r="I48" s="32">
        <f>+VALUE(G48)</f>
        <v>0.33</v>
      </c>
      <c r="J48" s="33">
        <f>+I48</f>
        <v>0.33</v>
      </c>
    </row>
    <row r="49" spans="1:10">
      <c r="A49" s="5" t="s">
        <v>41</v>
      </c>
      <c r="B49" s="5">
        <v>8153974</v>
      </c>
      <c r="C49" s="5" t="s">
        <v>78</v>
      </c>
      <c r="D49" s="5" t="s">
        <v>31</v>
      </c>
      <c r="E49" s="4"/>
      <c r="F49" s="4"/>
      <c r="G49" s="31" t="s">
        <v>79</v>
      </c>
      <c r="H49" s="6"/>
      <c r="I49" s="32">
        <f>+VALUE(G49)</f>
        <v>6</v>
      </c>
      <c r="J49" s="33">
        <f>+I49</f>
        <v>6</v>
      </c>
    </row>
    <row r="50" spans="1:10">
      <c r="A50" s="8">
        <v>45638</v>
      </c>
      <c r="B50" s="5">
        <v>7765788</v>
      </c>
      <c r="C50" s="5" t="s">
        <v>80</v>
      </c>
      <c r="D50" s="5" t="s">
        <v>31</v>
      </c>
      <c r="E50" s="4"/>
      <c r="F50" s="4"/>
      <c r="G50" s="31" t="s">
        <v>81</v>
      </c>
      <c r="H50" s="6"/>
      <c r="I50" s="32">
        <f>+VALUE(G50)</f>
        <v>6.49</v>
      </c>
      <c r="J50" s="33">
        <f>+I50</f>
        <v>6.49</v>
      </c>
    </row>
    <row r="51" spans="1:10">
      <c r="A51" s="5" t="s">
        <v>82</v>
      </c>
      <c r="B51" s="5">
        <v>7937687</v>
      </c>
      <c r="C51" s="5" t="s">
        <v>83</v>
      </c>
      <c r="D51" s="5" t="s">
        <v>31</v>
      </c>
      <c r="E51" s="4"/>
      <c r="F51" s="4"/>
      <c r="G51" s="31" t="s">
        <v>84</v>
      </c>
      <c r="H51" s="6"/>
      <c r="I51" s="32">
        <f>+VALUE(G51)</f>
        <v>3.99</v>
      </c>
      <c r="J51" s="33">
        <f>+I51</f>
        <v>3.99</v>
      </c>
    </row>
    <row r="52" spans="1:10">
      <c r="A52" s="5" t="s">
        <v>34</v>
      </c>
      <c r="B52" s="5">
        <v>8248982</v>
      </c>
      <c r="C52" s="5" t="s">
        <v>85</v>
      </c>
      <c r="D52" s="5" t="s">
        <v>31</v>
      </c>
      <c r="E52" s="4"/>
      <c r="F52" s="4"/>
      <c r="G52" s="31" t="s">
        <v>86</v>
      </c>
      <c r="H52" s="6"/>
      <c r="I52" s="32">
        <f>+VALUE(G52)</f>
        <v>5.99</v>
      </c>
      <c r="J52" s="33">
        <f>+I52</f>
        <v>5.99</v>
      </c>
    </row>
    <row r="53" spans="1:10">
      <c r="A53" s="8">
        <v>45577</v>
      </c>
      <c r="B53" s="5">
        <v>7606155</v>
      </c>
      <c r="C53" s="5" t="s">
        <v>87</v>
      </c>
      <c r="D53" s="5" t="s">
        <v>31</v>
      </c>
      <c r="E53" s="4"/>
      <c r="F53" s="4"/>
      <c r="G53" s="31" t="s">
        <v>88</v>
      </c>
      <c r="H53" s="6"/>
      <c r="I53" s="32">
        <f>+VALUE(G53)</f>
        <v>10.99</v>
      </c>
      <c r="J53" s="33">
        <f>+I53</f>
        <v>10.99</v>
      </c>
    </row>
    <row r="54" spans="1:10">
      <c r="A54" s="8">
        <v>45608</v>
      </c>
      <c r="B54" s="5">
        <v>7662392</v>
      </c>
      <c r="C54" s="5" t="s">
        <v>89</v>
      </c>
      <c r="D54" s="5" t="s">
        <v>31</v>
      </c>
      <c r="E54" s="4"/>
      <c r="F54" s="4"/>
      <c r="G54" s="31" t="s">
        <v>90</v>
      </c>
      <c r="H54" s="6"/>
      <c r="I54" s="32">
        <f>+VALUE(G54)</f>
        <v>19.989999999999998</v>
      </c>
      <c r="J54" s="33">
        <f>+I54</f>
        <v>19.989999999999998</v>
      </c>
    </row>
    <row r="55" spans="1:10">
      <c r="A55" s="8">
        <v>45608</v>
      </c>
      <c r="B55" s="5">
        <v>7662392</v>
      </c>
      <c r="C55" s="5" t="s">
        <v>46</v>
      </c>
      <c r="D55" s="5" t="s">
        <v>26</v>
      </c>
      <c r="E55" s="4"/>
      <c r="F55" s="4"/>
      <c r="G55" s="31" t="s">
        <v>91</v>
      </c>
      <c r="H55" s="6"/>
      <c r="I55" s="32">
        <f>+VALUE(G55)</f>
        <v>2.4</v>
      </c>
      <c r="J55" s="33">
        <f>+I55</f>
        <v>2.4</v>
      </c>
    </row>
    <row r="56" spans="1:10">
      <c r="A56" s="5" t="s">
        <v>82</v>
      </c>
      <c r="B56" s="5">
        <v>7939998</v>
      </c>
      <c r="C56" s="5" t="s">
        <v>92</v>
      </c>
      <c r="D56" s="5" t="s">
        <v>31</v>
      </c>
      <c r="E56" s="4"/>
      <c r="F56" s="4"/>
      <c r="G56" s="31" t="s">
        <v>81</v>
      </c>
      <c r="H56" s="6"/>
      <c r="I56" s="32">
        <f>+VALUE(G56)</f>
        <v>6.49</v>
      </c>
      <c r="J56" s="33">
        <f>+I56</f>
        <v>6.49</v>
      </c>
    </row>
    <row r="57" spans="1:10">
      <c r="A57" s="5" t="s">
        <v>82</v>
      </c>
      <c r="B57" s="5">
        <v>7939998</v>
      </c>
      <c r="C57" s="5" t="s">
        <v>46</v>
      </c>
      <c r="D57" s="5" t="s">
        <v>26</v>
      </c>
      <c r="E57" s="4"/>
      <c r="F57" s="4"/>
      <c r="G57" s="31" t="s">
        <v>93</v>
      </c>
      <c r="H57" s="6"/>
      <c r="I57" s="32">
        <f>+VALUE(G57)</f>
        <v>0.78</v>
      </c>
      <c r="J57" s="33">
        <f>+I57</f>
        <v>0.78</v>
      </c>
    </row>
    <row r="58" spans="1:10">
      <c r="A58" s="4"/>
      <c r="B58" s="5" t="s">
        <v>94</v>
      </c>
      <c r="C58" s="4"/>
      <c r="D58" s="4"/>
      <c r="E58" s="4"/>
      <c r="F58" s="4"/>
      <c r="G58" s="31" t="s">
        <v>95</v>
      </c>
      <c r="H58" s="6"/>
      <c r="I58" s="32"/>
      <c r="J58" s="33">
        <f>+I58</f>
        <v>0</v>
      </c>
    </row>
    <row r="59" spans="1:10">
      <c r="A59" s="25"/>
      <c r="B59" s="26"/>
      <c r="C59" s="26"/>
      <c r="D59" s="26"/>
      <c r="E59" s="26"/>
      <c r="F59" s="26"/>
      <c r="G59" s="26"/>
      <c r="H59" s="27"/>
    </row>
    <row r="60" spans="1:10">
      <c r="A60" s="13"/>
      <c r="B60" s="14"/>
      <c r="C60" s="15"/>
      <c r="D60" s="16" t="s">
        <v>96</v>
      </c>
      <c r="E60" s="17"/>
      <c r="F60" s="18"/>
      <c r="G60" s="9">
        <v>837.93</v>
      </c>
      <c r="H60" s="9"/>
    </row>
    <row r="61" spans="1:10">
      <c r="A61" s="13"/>
      <c r="B61" s="14"/>
      <c r="C61" s="15"/>
      <c r="D61" s="16" t="s">
        <v>97</v>
      </c>
      <c r="E61" s="17"/>
      <c r="F61" s="18"/>
      <c r="G61" s="9">
        <v>842.83</v>
      </c>
      <c r="H61" s="9"/>
    </row>
    <row r="62" spans="1:10">
      <c r="A62" s="13"/>
      <c r="B62" s="14"/>
      <c r="C62" s="15"/>
      <c r="D62" s="16" t="s">
        <v>98</v>
      </c>
      <c r="E62" s="17"/>
      <c r="F62" s="18"/>
      <c r="G62" s="9">
        <v>38.19</v>
      </c>
      <c r="H62" s="9"/>
    </row>
  </sheetData>
  <sortState xmlns:xlrd2="http://schemas.microsoft.com/office/spreadsheetml/2017/richdata2" ref="I18:J58">
    <sortCondition descending="1" ref="J18:J58"/>
  </sortState>
  <mergeCells count="15">
    <mergeCell ref="A2:H2"/>
    <mergeCell ref="A3:H3"/>
    <mergeCell ref="A4:H4"/>
    <mergeCell ref="A5:H5"/>
    <mergeCell ref="A6:D6"/>
    <mergeCell ref="E6:H6"/>
    <mergeCell ref="A62:C62"/>
    <mergeCell ref="D62:F62"/>
    <mergeCell ref="A7:H7"/>
    <mergeCell ref="A17:H17"/>
    <mergeCell ref="A59:H59"/>
    <mergeCell ref="A60:C60"/>
    <mergeCell ref="D60:F60"/>
    <mergeCell ref="A61:C61"/>
    <mergeCell ref="D61:F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 Arcentales</cp:lastModifiedBy>
  <cp:revision/>
  <dcterms:created xsi:type="dcterms:W3CDTF">2024-01-20T02:17:49Z</dcterms:created>
  <dcterms:modified xsi:type="dcterms:W3CDTF">2024-01-20T02:38:12Z</dcterms:modified>
  <cp:category/>
  <cp:contentStatus/>
</cp:coreProperties>
</file>