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513D\EXCELCNV\68e94c83-5bbd-44df-a865-7a59616f756d\"/>
    </mc:Choice>
  </mc:AlternateContent>
  <xr:revisionPtr revIDLastSave="63" documentId="8_{BAD0BC3D-EFEF-4982-BF95-586EABCA12CE}" xr6:coauthVersionLast="47" xr6:coauthVersionMax="47" xr10:uidLastSave="{00C5E1A4-3903-44D3-9F25-E275A4986E37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J9" i="1"/>
</calcChain>
</file>

<file path=xl/sharedStrings.xml><?xml version="1.0" encoding="utf-8"?>
<sst xmlns="http://schemas.openxmlformats.org/spreadsheetml/2006/main" count="93" uniqueCount="72">
  <si>
    <t>Empresa: ARCENTALES ARCINIEGA ANDRE SEB</t>
  </si>
  <si>
    <t>Tarjeta No.: 2230XXXXXXXX5647</t>
  </si>
  <si>
    <t>Estado de Cuenta</t>
  </si>
  <si>
    <t>Fecha de emisión: 06 NOV 2023</t>
  </si>
  <si>
    <t>Pague Hasta: 21 NOV 2023</t>
  </si>
  <si>
    <t>Fecha</t>
  </si>
  <si>
    <t>Documento</t>
  </si>
  <si>
    <t>Descripción</t>
  </si>
  <si>
    <t>Operación</t>
  </si>
  <si>
    <t>Cuota</t>
  </si>
  <si>
    <t>País</t>
  </si>
  <si>
    <t>Valor</t>
  </si>
  <si>
    <t>Saldo Diferido(USD)</t>
  </si>
  <si>
    <t>SALDO ANTERIOR</t>
  </si>
  <si>
    <t>390,81</t>
  </si>
  <si>
    <t>Total</t>
  </si>
  <si>
    <t>23/10</t>
  </si>
  <si>
    <t>SU PAGO "MUCHAS GRACIAS"</t>
  </si>
  <si>
    <t>20,00</t>
  </si>
  <si>
    <t>Pagos</t>
  </si>
  <si>
    <t>Consumo</t>
  </si>
  <si>
    <t>30/10</t>
  </si>
  <si>
    <t>370,81</t>
  </si>
  <si>
    <t>SUBTOTAL PAGOS</t>
  </si>
  <si>
    <t>INT. FINANCIAMIENTO</t>
  </si>
  <si>
    <t>N/D</t>
  </si>
  <si>
    <t>1,12</t>
  </si>
  <si>
    <t>CONT_FIN_SOLCA_C.ROT**</t>
  </si>
  <si>
    <t>0,04</t>
  </si>
  <si>
    <t>ARCENTALES ARCINIEGA ANDRE SEB 2230-xxxx-xxxx-5647 * PRINCIPAL MASTERCARD JOVEN *</t>
  </si>
  <si>
    <t>26/10</t>
  </si>
  <si>
    <t>MEI WAH</t>
  </si>
  <si>
    <t>CONSUMO</t>
  </si>
  <si>
    <t>5.99</t>
  </si>
  <si>
    <t>29/10</t>
  </si>
  <si>
    <t>SAFAERA</t>
  </si>
  <si>
    <t>27/10</t>
  </si>
  <si>
    <t>SWEET 8 COFFEE</t>
  </si>
  <si>
    <t>MEGAMAXI EL CONDADO LC Q</t>
  </si>
  <si>
    <t>15,99</t>
  </si>
  <si>
    <t>DIFARE S AECUECU G</t>
  </si>
  <si>
    <t>3,25</t>
  </si>
  <si>
    <t>METRORED ECUECU Q</t>
  </si>
  <si>
    <t>6,00</t>
  </si>
  <si>
    <t>21/10</t>
  </si>
  <si>
    <t>UBER *TRIP H</t>
  </si>
  <si>
    <t>7,64</t>
  </si>
  <si>
    <t>RET IVA SERV DIGITAL 100%</t>
  </si>
  <si>
    <t>0,92</t>
  </si>
  <si>
    <t>17/10</t>
  </si>
  <si>
    <t>FARMACIAS ECONOMICAS P Q</t>
  </si>
  <si>
    <t>10,08</t>
  </si>
  <si>
    <t>28/10</t>
  </si>
  <si>
    <t>IL CAPPO DI MANGI EL C Q</t>
  </si>
  <si>
    <t>5,99</t>
  </si>
  <si>
    <t>UB *EATS ECUADOR 8</t>
  </si>
  <si>
    <t>14,75</t>
  </si>
  <si>
    <t>RET IVA SERV DIGITAL 10%</t>
  </si>
  <si>
    <t>0,18</t>
  </si>
  <si>
    <t>24/10</t>
  </si>
  <si>
    <t>KFC K004 CCI KSA Q</t>
  </si>
  <si>
    <t>7,50</t>
  </si>
  <si>
    <t>KFC K089 CONDADO KS Q</t>
  </si>
  <si>
    <t>6,99</t>
  </si>
  <si>
    <t>GOOGLE *Google Storage 6</t>
  </si>
  <si>
    <t>1,99</t>
  </si>
  <si>
    <t>0,24</t>
  </si>
  <si>
    <t>SUBTOTAL :</t>
  </si>
  <si>
    <t>315,91</t>
  </si>
  <si>
    <t>TOTAL CONSUMOS MES</t>
  </si>
  <si>
    <t>TOTAL A PAGAR USD</t>
  </si>
  <si>
    <t>PAGO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</si>
</sst>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D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right" wrapText="1"/>
    </xf>
    <xf numFmtId="0" fontId="0" fillId="0" borderId="10" xfId="0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16" fontId="18" fillId="0" borderId="10" xfId="0" applyNumberFormat="1" applyFont="1" applyBorder="1" applyAlignment="1">
      <alignment horizontal="left" wrapText="1"/>
    </xf>
    <xf numFmtId="0" fontId="19" fillId="0" borderId="10" xfId="0" applyFont="1" applyBorder="1" applyAlignment="1">
      <alignment horizontal="right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3" xfId="0" applyFont="1" applyBorder="1" applyAlignment="1">
      <alignment horizontal="left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2" fontId="18" fillId="0" borderId="10" xfId="0" applyNumberFormat="1" applyFont="1" applyBorder="1" applyAlignment="1">
      <alignment horizontal="right" wrapText="1"/>
    </xf>
    <xf numFmtId="2" fontId="0" fillId="0" borderId="0" xfId="0" applyNumberFormat="1"/>
    <xf numFmtId="43" fontId="0" fillId="0" borderId="0" xfId="0" applyNumberFormat="1"/>
    <xf numFmtId="43" fontId="18" fillId="0" borderId="10" xfId="0" applyNumberFormat="1" applyFont="1" applyBorder="1" applyAlignment="1">
      <alignment horizontal="right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showGridLines="0" tabSelected="1" topLeftCell="A9" workbookViewId="0">
      <selection activeCell="J14" sqref="J14"/>
    </sheetView>
  </sheetViews>
  <sheetFormatPr defaultRowHeight="15"/>
  <cols>
    <col min="1" max="1" width="7.7109375" customWidth="1"/>
    <col min="2" max="2" width="12.7109375" customWidth="1"/>
    <col min="3" max="3" width="27.5703125" customWidth="1"/>
    <col min="4" max="4" width="11.42578125" customWidth="1"/>
    <col min="5" max="5" width="6.85546875" customWidth="1"/>
    <col min="6" max="6" width="5.140625" customWidth="1"/>
    <col min="7" max="7" width="7.85546875" customWidth="1"/>
    <col min="8" max="8" width="22" customWidth="1"/>
  </cols>
  <sheetData>
    <row r="1" spans="1:16">
      <c r="A1" s="9"/>
      <c r="B1" s="10"/>
      <c r="C1" s="10"/>
      <c r="D1" s="10"/>
      <c r="E1" s="10"/>
      <c r="F1" s="10"/>
      <c r="G1" s="10"/>
      <c r="H1" s="11"/>
    </row>
    <row r="2" spans="1:16" s="1" customFormat="1">
      <c r="A2" s="27" t="s">
        <v>0</v>
      </c>
      <c r="B2" s="28"/>
      <c r="C2" s="28"/>
      <c r="D2" s="28"/>
      <c r="E2" s="28"/>
      <c r="F2" s="28"/>
      <c r="G2" s="28"/>
      <c r="H2" s="29"/>
    </row>
    <row r="3" spans="1:16" s="1" customFormat="1">
      <c r="A3" s="27" t="s">
        <v>1</v>
      </c>
      <c r="B3" s="28"/>
      <c r="C3" s="28"/>
      <c r="D3" s="28"/>
      <c r="E3" s="28"/>
      <c r="F3" s="28"/>
      <c r="G3" s="28"/>
      <c r="H3" s="29"/>
    </row>
    <row r="4" spans="1:16">
      <c r="A4" s="18"/>
      <c r="B4" s="19"/>
      <c r="C4" s="19"/>
      <c r="D4" s="19"/>
      <c r="E4" s="19"/>
      <c r="F4" s="19"/>
      <c r="G4" s="19"/>
      <c r="H4" s="20"/>
    </row>
    <row r="5" spans="1:16" s="1" customFormat="1">
      <c r="A5" s="27" t="s">
        <v>2</v>
      </c>
      <c r="B5" s="28"/>
      <c r="C5" s="28"/>
      <c r="D5" s="28"/>
      <c r="E5" s="28"/>
      <c r="F5" s="28"/>
      <c r="G5" s="28"/>
      <c r="H5" s="29"/>
    </row>
    <row r="6" spans="1:16">
      <c r="A6" s="18" t="s">
        <v>3</v>
      </c>
      <c r="B6" s="19"/>
      <c r="C6" s="19"/>
      <c r="D6" s="20"/>
      <c r="E6" s="18" t="s">
        <v>4</v>
      </c>
      <c r="F6" s="19"/>
      <c r="G6" s="19"/>
      <c r="H6" s="20"/>
    </row>
    <row r="7" spans="1:16">
      <c r="A7" s="18"/>
      <c r="B7" s="19"/>
      <c r="C7" s="19"/>
      <c r="D7" s="19"/>
      <c r="E7" s="19"/>
      <c r="F7" s="19"/>
      <c r="G7" s="19"/>
      <c r="H7" s="20"/>
    </row>
    <row r="8" spans="1:16" s="1" customFormat="1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3" t="s">
        <v>11</v>
      </c>
      <c r="H8" s="3" t="s">
        <v>12</v>
      </c>
    </row>
    <row r="9" spans="1:16">
      <c r="A9" s="4"/>
      <c r="B9" s="4"/>
      <c r="C9" s="5" t="s">
        <v>13</v>
      </c>
      <c r="D9" s="4"/>
      <c r="E9" s="4"/>
      <c r="F9" s="4"/>
      <c r="G9" s="30" t="s">
        <v>14</v>
      </c>
      <c r="H9" s="6"/>
      <c r="I9" t="s">
        <v>15</v>
      </c>
      <c r="J9" t="str">
        <f>+G9</f>
        <v>390,81</v>
      </c>
    </row>
    <row r="10" spans="1:16">
      <c r="A10" s="5" t="s">
        <v>16</v>
      </c>
      <c r="B10" s="4"/>
      <c r="C10" s="5" t="s">
        <v>17</v>
      </c>
      <c r="D10" s="4"/>
      <c r="E10" s="4"/>
      <c r="F10" s="4"/>
      <c r="G10" s="30" t="s">
        <v>18</v>
      </c>
      <c r="H10" s="6"/>
      <c r="K10" t="s">
        <v>19</v>
      </c>
      <c r="L10" t="s">
        <v>20</v>
      </c>
    </row>
    <row r="11" spans="1:16">
      <c r="A11" s="5" t="s">
        <v>21</v>
      </c>
      <c r="B11" s="5">
        <v>673594</v>
      </c>
      <c r="C11" s="5" t="s">
        <v>17</v>
      </c>
      <c r="D11" s="4"/>
      <c r="E11" s="4"/>
      <c r="F11" s="4"/>
      <c r="G11" s="30" t="s">
        <v>22</v>
      </c>
      <c r="H11" s="6"/>
      <c r="K11" s="31">
        <f>+G10+G11</f>
        <v>390.81</v>
      </c>
      <c r="L11" s="32">
        <f>SUM(P15:P30)</f>
        <v>315.91000000000003</v>
      </c>
    </row>
    <row r="12" spans="1:16">
      <c r="A12" s="4"/>
      <c r="B12" s="4"/>
      <c r="C12" s="5" t="s">
        <v>23</v>
      </c>
      <c r="D12" s="4"/>
      <c r="E12" s="4"/>
      <c r="F12" s="4"/>
      <c r="G12" s="30" t="s">
        <v>14</v>
      </c>
      <c r="H12" s="6"/>
    </row>
    <row r="13" spans="1:16">
      <c r="A13" s="7">
        <v>45454</v>
      </c>
      <c r="B13" s="4"/>
      <c r="C13" s="5" t="s">
        <v>24</v>
      </c>
      <c r="D13" s="5" t="s">
        <v>25</v>
      </c>
      <c r="E13" s="4"/>
      <c r="F13" s="4"/>
      <c r="G13" s="30" t="s">
        <v>26</v>
      </c>
      <c r="H13" s="6"/>
    </row>
    <row r="14" spans="1:16">
      <c r="A14" s="7">
        <v>45454</v>
      </c>
      <c r="B14" s="4"/>
      <c r="C14" s="5" t="s">
        <v>27</v>
      </c>
      <c r="D14" s="5" t="s">
        <v>25</v>
      </c>
      <c r="E14" s="4"/>
      <c r="F14" s="4"/>
      <c r="G14" s="30" t="s">
        <v>28</v>
      </c>
      <c r="H14" s="6"/>
    </row>
    <row r="15" spans="1:16">
      <c r="A15" s="21" t="s">
        <v>29</v>
      </c>
      <c r="B15" s="22"/>
      <c r="C15" s="22"/>
      <c r="D15" s="22"/>
      <c r="E15" s="22"/>
      <c r="F15" s="22"/>
      <c r="G15" s="22"/>
      <c r="H15" s="23"/>
      <c r="P15" s="34">
        <v>5.99</v>
      </c>
    </row>
    <row r="16" spans="1:16">
      <c r="A16" s="5" t="s">
        <v>30</v>
      </c>
      <c r="B16" s="5">
        <v>25171</v>
      </c>
      <c r="C16" s="5" t="s">
        <v>31</v>
      </c>
      <c r="D16" s="5" t="s">
        <v>32</v>
      </c>
      <c r="E16" s="4"/>
      <c r="F16" s="4"/>
      <c r="G16" s="33" t="s">
        <v>33</v>
      </c>
      <c r="H16" s="6"/>
      <c r="P16" s="34">
        <v>223</v>
      </c>
    </row>
    <row r="17" spans="1:16">
      <c r="A17" s="5" t="s">
        <v>34</v>
      </c>
      <c r="B17" s="5">
        <v>12241</v>
      </c>
      <c r="C17" s="5" t="s">
        <v>35</v>
      </c>
      <c r="D17" s="5" t="s">
        <v>32</v>
      </c>
      <c r="E17" s="4"/>
      <c r="F17" s="4"/>
      <c r="G17" s="33">
        <v>223</v>
      </c>
      <c r="H17" s="6"/>
      <c r="P17" s="34">
        <v>5.4</v>
      </c>
    </row>
    <row r="18" spans="1:16">
      <c r="A18" s="5" t="s">
        <v>36</v>
      </c>
      <c r="B18" s="5">
        <v>32087</v>
      </c>
      <c r="C18" s="5" t="s">
        <v>37</v>
      </c>
      <c r="D18" s="5" t="s">
        <v>32</v>
      </c>
      <c r="E18" s="4"/>
      <c r="F18" s="4"/>
      <c r="G18" s="33">
        <v>5.4</v>
      </c>
      <c r="H18" s="6"/>
      <c r="P18" s="34">
        <v>15.99</v>
      </c>
    </row>
    <row r="19" spans="1:16">
      <c r="A19" s="7">
        <v>45545</v>
      </c>
      <c r="B19" s="5">
        <v>5724657</v>
      </c>
      <c r="C19" s="5" t="s">
        <v>38</v>
      </c>
      <c r="D19" s="5" t="s">
        <v>32</v>
      </c>
      <c r="E19" s="4"/>
      <c r="F19" s="4"/>
      <c r="G19" s="33" t="s">
        <v>39</v>
      </c>
      <c r="H19" s="6"/>
      <c r="P19" s="34">
        <v>3.25</v>
      </c>
    </row>
    <row r="20" spans="1:16">
      <c r="A20" s="7">
        <v>45545</v>
      </c>
      <c r="B20" s="5">
        <v>5724656</v>
      </c>
      <c r="C20" s="5" t="s">
        <v>40</v>
      </c>
      <c r="D20" s="5" t="s">
        <v>32</v>
      </c>
      <c r="E20" s="4"/>
      <c r="F20" s="4"/>
      <c r="G20" s="33" t="s">
        <v>41</v>
      </c>
      <c r="H20" s="6"/>
      <c r="P20" s="34">
        <v>6</v>
      </c>
    </row>
    <row r="21" spans="1:16">
      <c r="A21" s="7">
        <v>45545</v>
      </c>
      <c r="B21" s="5">
        <v>5724658</v>
      </c>
      <c r="C21" s="5" t="s">
        <v>42</v>
      </c>
      <c r="D21" s="5" t="s">
        <v>32</v>
      </c>
      <c r="E21" s="4"/>
      <c r="F21" s="4"/>
      <c r="G21" s="33" t="s">
        <v>43</v>
      </c>
      <c r="H21" s="6"/>
      <c r="P21" s="34">
        <v>7.64</v>
      </c>
    </row>
    <row r="22" spans="1:16">
      <c r="A22" s="5" t="s">
        <v>44</v>
      </c>
      <c r="B22" s="5">
        <v>6057439</v>
      </c>
      <c r="C22" s="5" t="s">
        <v>45</v>
      </c>
      <c r="D22" s="5" t="s">
        <v>32</v>
      </c>
      <c r="E22" s="4"/>
      <c r="F22" s="4"/>
      <c r="G22" s="33" t="s">
        <v>46</v>
      </c>
      <c r="H22" s="6"/>
      <c r="P22" s="34">
        <v>0.92</v>
      </c>
    </row>
    <row r="23" spans="1:16">
      <c r="A23" s="5" t="s">
        <v>44</v>
      </c>
      <c r="B23" s="5">
        <v>6057439</v>
      </c>
      <c r="C23" s="5" t="s">
        <v>47</v>
      </c>
      <c r="D23" s="5" t="s">
        <v>25</v>
      </c>
      <c r="E23" s="4"/>
      <c r="F23" s="4"/>
      <c r="G23" s="33" t="s">
        <v>48</v>
      </c>
      <c r="H23" s="6"/>
      <c r="P23" s="34">
        <v>10.08</v>
      </c>
    </row>
    <row r="24" spans="1:16">
      <c r="A24" s="5" t="s">
        <v>49</v>
      </c>
      <c r="B24" s="5">
        <v>5987821</v>
      </c>
      <c r="C24" s="5" t="s">
        <v>50</v>
      </c>
      <c r="D24" s="5" t="s">
        <v>32</v>
      </c>
      <c r="E24" s="4"/>
      <c r="F24" s="4"/>
      <c r="G24" s="33" t="s">
        <v>51</v>
      </c>
      <c r="H24" s="6"/>
      <c r="P24" s="34">
        <v>5.99</v>
      </c>
    </row>
    <row r="25" spans="1:16">
      <c r="A25" s="5" t="s">
        <v>52</v>
      </c>
      <c r="B25" s="5">
        <v>6338298</v>
      </c>
      <c r="C25" s="5" t="s">
        <v>53</v>
      </c>
      <c r="D25" s="5" t="s">
        <v>32</v>
      </c>
      <c r="E25" s="4"/>
      <c r="F25" s="4"/>
      <c r="G25" s="33" t="s">
        <v>54</v>
      </c>
      <c r="H25" s="6"/>
      <c r="P25" s="34">
        <v>14.75</v>
      </c>
    </row>
    <row r="26" spans="1:16">
      <c r="A26" s="7">
        <v>45362</v>
      </c>
      <c r="B26" s="5">
        <v>6438954</v>
      </c>
      <c r="C26" s="5" t="s">
        <v>55</v>
      </c>
      <c r="D26" s="5" t="s">
        <v>32</v>
      </c>
      <c r="E26" s="4"/>
      <c r="F26" s="4"/>
      <c r="G26" s="33" t="s">
        <v>56</v>
      </c>
      <c r="H26" s="6"/>
      <c r="P26" s="34">
        <v>0.18</v>
      </c>
    </row>
    <row r="27" spans="1:16">
      <c r="A27" s="7">
        <v>45362</v>
      </c>
      <c r="B27" s="5">
        <v>6438954</v>
      </c>
      <c r="C27" s="5" t="s">
        <v>57</v>
      </c>
      <c r="D27" s="5" t="s">
        <v>25</v>
      </c>
      <c r="E27" s="4"/>
      <c r="F27" s="4"/>
      <c r="G27" s="33" t="s">
        <v>58</v>
      </c>
      <c r="H27" s="6"/>
      <c r="P27" s="34">
        <v>7.5</v>
      </c>
    </row>
    <row r="28" spans="1:16">
      <c r="A28" s="5" t="s">
        <v>59</v>
      </c>
      <c r="B28" s="5">
        <v>6169075</v>
      </c>
      <c r="C28" s="5" t="s">
        <v>60</v>
      </c>
      <c r="D28" s="5" t="s">
        <v>32</v>
      </c>
      <c r="E28" s="4"/>
      <c r="F28" s="4"/>
      <c r="G28" s="33" t="s">
        <v>61</v>
      </c>
      <c r="H28" s="6"/>
      <c r="P28" s="34">
        <v>6.99</v>
      </c>
    </row>
    <row r="29" spans="1:16">
      <c r="A29" s="5" t="s">
        <v>52</v>
      </c>
      <c r="B29" s="5">
        <v>6338299</v>
      </c>
      <c r="C29" s="5" t="s">
        <v>62</v>
      </c>
      <c r="D29" s="5" t="s">
        <v>32</v>
      </c>
      <c r="E29" s="4"/>
      <c r="F29" s="4"/>
      <c r="G29" s="33" t="s">
        <v>63</v>
      </c>
      <c r="H29" s="6"/>
      <c r="P29" s="34">
        <v>1.99</v>
      </c>
    </row>
    <row r="30" spans="1:16">
      <c r="A30" s="7">
        <v>45514</v>
      </c>
      <c r="B30" s="5">
        <v>5627508</v>
      </c>
      <c r="C30" s="5" t="s">
        <v>64</v>
      </c>
      <c r="D30" s="5" t="s">
        <v>32</v>
      </c>
      <c r="E30" s="4"/>
      <c r="F30" s="4"/>
      <c r="G30" s="33" t="s">
        <v>65</v>
      </c>
      <c r="H30" s="6"/>
      <c r="P30" s="34">
        <v>0.24</v>
      </c>
    </row>
    <row r="31" spans="1:16">
      <c r="A31" s="7">
        <v>45514</v>
      </c>
      <c r="B31" s="5">
        <v>5627508</v>
      </c>
      <c r="C31" s="5" t="s">
        <v>47</v>
      </c>
      <c r="D31" s="5" t="s">
        <v>25</v>
      </c>
      <c r="E31" s="4"/>
      <c r="F31" s="4"/>
      <c r="G31" s="33" t="s">
        <v>66</v>
      </c>
      <c r="H31" s="6"/>
    </row>
    <row r="32" spans="1:16">
      <c r="A32" s="4"/>
      <c r="B32" s="5" t="s">
        <v>67</v>
      </c>
      <c r="C32" s="4"/>
      <c r="D32" s="4"/>
      <c r="E32" s="4"/>
      <c r="F32" s="4"/>
      <c r="G32" s="33" t="s">
        <v>68</v>
      </c>
      <c r="H32" s="6"/>
    </row>
    <row r="33" spans="1:8">
      <c r="A33" s="24"/>
      <c r="B33" s="25"/>
      <c r="C33" s="25"/>
      <c r="D33" s="25"/>
      <c r="E33" s="25"/>
      <c r="F33" s="25"/>
      <c r="G33" s="25"/>
      <c r="H33" s="26"/>
    </row>
    <row r="34" spans="1:8">
      <c r="A34" s="12"/>
      <c r="B34" s="13"/>
      <c r="C34" s="14"/>
      <c r="D34" s="15" t="s">
        <v>69</v>
      </c>
      <c r="E34" s="16"/>
      <c r="F34" s="17"/>
      <c r="G34" s="8">
        <v>314.57</v>
      </c>
      <c r="H34" s="8"/>
    </row>
    <row r="35" spans="1:8">
      <c r="A35" s="12"/>
      <c r="B35" s="13"/>
      <c r="C35" s="14"/>
      <c r="D35" s="15" t="s">
        <v>70</v>
      </c>
      <c r="E35" s="16"/>
      <c r="F35" s="17"/>
      <c r="G35" s="8">
        <v>317.07</v>
      </c>
      <c r="H35" s="8"/>
    </row>
    <row r="36" spans="1:8">
      <c r="A36" s="12"/>
      <c r="B36" s="13"/>
      <c r="C36" s="14"/>
      <c r="D36" s="15" t="s">
        <v>71</v>
      </c>
      <c r="E36" s="16"/>
      <c r="F36" s="17"/>
      <c r="G36" s="8">
        <v>20</v>
      </c>
      <c r="H36" s="8"/>
    </row>
  </sheetData>
  <mergeCells count="15">
    <mergeCell ref="A2:H2"/>
    <mergeCell ref="A3:H3"/>
    <mergeCell ref="A4:H4"/>
    <mergeCell ref="A5:H5"/>
    <mergeCell ref="A6:D6"/>
    <mergeCell ref="E6:H6"/>
    <mergeCell ref="A36:C36"/>
    <mergeCell ref="D36:F36"/>
    <mergeCell ref="A7:H7"/>
    <mergeCell ref="A15:H15"/>
    <mergeCell ref="A33:H33"/>
    <mergeCell ref="A34:C34"/>
    <mergeCell ref="D34:F34"/>
    <mergeCell ref="A35:C35"/>
    <mergeCell ref="D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 Arcentales</cp:lastModifiedBy>
  <cp:revision/>
  <dcterms:created xsi:type="dcterms:W3CDTF">2024-01-20T02:14:02Z</dcterms:created>
  <dcterms:modified xsi:type="dcterms:W3CDTF">2024-01-20T02:38:14Z</dcterms:modified>
  <cp:category/>
  <cp:contentStatus/>
</cp:coreProperties>
</file>